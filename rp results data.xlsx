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NIyati Nirmal - IAL\"/>
    </mc:Choice>
  </mc:AlternateContent>
  <xr:revisionPtr revIDLastSave="0" documentId="13_ncr:1_{FECB20D0-53B8-4585-A3D2-2C3C7439A73B}" xr6:coauthVersionLast="47" xr6:coauthVersionMax="47" xr10:uidLastSave="{00000000-0000-0000-0000-000000000000}"/>
  <bookViews>
    <workbookView xWindow="-120" yWindow="-120" windowWidth="20730" windowHeight="11040" xr2:uid="{DE5C50BF-DBE2-4720-8784-E6C6B039402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66" i="1" l="1"/>
  <c r="L63" i="1"/>
  <c r="L64" i="1"/>
  <c r="L65" i="1"/>
  <c r="L62" i="1"/>
  <c r="I48" i="1" a="1"/>
  <c r="I48" i="1" s="1"/>
  <c r="I49" i="1" a="1"/>
  <c r="I49" i="1" s="1"/>
  <c r="I50" i="1" l="1"/>
  <c r="I5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<sst xmlns="http://schemas.openxmlformats.org/spreadsheetml/2006/main" count="369" uniqueCount="142">
  <si>
    <t>Scenario ID</t>
  </si>
  <si>
    <t>Model Name</t>
  </si>
  <si>
    <t>Prompt</t>
  </si>
  <si>
    <t>Code Execution Success</t>
  </si>
  <si>
    <t>Collision Check</t>
  </si>
  <si>
    <t>Error Catergory</t>
  </si>
  <si>
    <t>S1-R1</t>
  </si>
  <si>
    <t>S1-R2</t>
  </si>
  <si>
    <t>S1-R3</t>
  </si>
  <si>
    <t>S1-R4</t>
  </si>
  <si>
    <t>S1-R5</t>
  </si>
  <si>
    <t>S1-R6</t>
  </si>
  <si>
    <t>S2-R1</t>
  </si>
  <si>
    <t>S2-R2</t>
  </si>
  <si>
    <t>S2-R3</t>
  </si>
  <si>
    <t>S2-R4</t>
  </si>
  <si>
    <t>S2-R5</t>
  </si>
  <si>
    <t>S2-R6</t>
  </si>
  <si>
    <t>S3-R1</t>
  </si>
  <si>
    <t>S3-R2</t>
  </si>
  <si>
    <t>S3-R3</t>
  </si>
  <si>
    <t>S3-R4</t>
  </si>
  <si>
    <t>S3-R5</t>
  </si>
  <si>
    <t>S3-R6</t>
  </si>
  <si>
    <t>S4-R1</t>
  </si>
  <si>
    <t>S4-R2</t>
  </si>
  <si>
    <t>S4-R3</t>
  </si>
  <si>
    <t>S4-R4</t>
  </si>
  <si>
    <t>S4-R5</t>
  </si>
  <si>
    <t>S4-R6</t>
  </si>
  <si>
    <t>S5-R1</t>
  </si>
  <si>
    <t>S5-R2</t>
  </si>
  <si>
    <t>S5-R3</t>
  </si>
  <si>
    <t>S5-R4</t>
  </si>
  <si>
    <t>S5-R5</t>
  </si>
  <si>
    <t>S5-R6</t>
  </si>
  <si>
    <t>Act as a UAV path planning system. Generate a 2D path from Start (33, 99) to Goal (18, 42). Avoid the following no-fly zones: Circle 1 centered at (30, 60) with radius 10m, and Circle 2 centered at (24, 68) with radius 3m. Output ONLY a Python list of coordinate tuples.</t>
  </si>
  <si>
    <t>Act as a UAV path planning system. Generate a 2D path from Start (100, 100) to Goal (2, 0). Avoid the following no-fly zones: Circle 1 centered at (30, 50) with radius 14m, and Circle 2 centered at (50, 30) with radius 1300cm. Output ONLY a Python list of coordinate tuples.</t>
  </si>
  <si>
    <t>Act as a UAV path planning system. Generate a 2D path from Start (13, 86) to Goal (92, 48). Avoid the following no-fly zones: Circle 1 centered at (17, 83) with radius 4m, and Circle 2 centered at (85, 52) with radius 7m. Output ONLY a Python list of coordinate tuples.</t>
  </si>
  <si>
    <t>Act as a UAV path planning system. Plan a path from Start (78, 349) to Goal (312, 120). Initial battery is 95%, burning 1.0% per 10 meters flown. If battery falls below the 15% safety threshold before reaching the goal, you MUST divert immediately to the Emergency Base at (150, 280). Output ONLY a Python list of coordinate tuples.</t>
  </si>
  <si>
    <t>Act as a UAV path planning system. Plan a path from Start (290, 240) to Goal (120, 85). Initial battery is 45%, burning 1.1% per 10 meters flown. If battery falls below the 12% safety threshold before reaching the goal, you MUST divert immediately to the Emergency Base at (200, 180). Output ONLY a Python list of coordinate tuples.</t>
  </si>
  <si>
    <t>Act as a UAV path planning system. Plan a path from Start (15, 230) to Goal (510, 610). Initial battery is 70%, burning 1.2% per 10 meters flown. If battery falls below the 20% safety threshold before reaching the goal, you MUST divert immediately to the Emergency Base at (210, 320). Output ONLY a Python list of coordinate tuples.</t>
  </si>
  <si>
    <t>Act as a UAV path planning system. Plan a 3D path from Start (112, 83, 6) to Goal (423, 387, 114). FAA regulations cap maximum altitude at 120m and minimum at 22m. Note that flying higher than 40m incurs extra wind resistance penalty. Output ONLY a Python list of 3D tuples [(x, y, z), ...].</t>
  </si>
  <si>
    <t>Act as a UAV path planning system. Plan a 3D path from Start (43, 117, 22) to Goal (314, 448, 79). FAA regulations cap maximum altitude at 115m and minimum at 20m. Note that flying higher than 40m incurs extra wind resistance penalty. Output ONLY a Python list of 3D tuples [(x, y, z), ...].</t>
  </si>
  <si>
    <t>Act as a UAV path planning system. Plan a 3D path from Start (81, 194, 37) to Goal (376, 281, 19). FAA regulations cap maximum altitude at 60m and minimum at 19m. Note that flying higher than 40m incurs extra wind resistance penalty. Output ONLY a Python list of 3D tuples [(x, y, z), ...].</t>
  </si>
  <si>
    <t>gemeni 3.6 flash</t>
  </si>
  <si>
    <t>claude sonnet 5</t>
  </si>
  <si>
    <t>GPT-5.6 Luna</t>
  </si>
  <si>
    <t>S1-R7</t>
  </si>
  <si>
    <t>S1-R8</t>
  </si>
  <si>
    <t>S1-R9</t>
  </si>
  <si>
    <t>S2-R7</t>
  </si>
  <si>
    <t>S2-R8</t>
  </si>
  <si>
    <t>S2-R9</t>
  </si>
  <si>
    <t>S3-R7</t>
  </si>
  <si>
    <t>S3-R8</t>
  </si>
  <si>
    <t>S3-R9</t>
  </si>
  <si>
    <t>S4-R7</t>
  </si>
  <si>
    <t>S4-R8</t>
  </si>
  <si>
    <t>S4-R9</t>
  </si>
  <si>
    <t>S5-R7</t>
  </si>
  <si>
    <t>S5-R8</t>
  </si>
  <si>
    <t>S5-R9</t>
  </si>
  <si>
    <t>Act as a UAV path planning system. Generate a 2D waypoint path from Start (25, 18) to Goal (70, 26). Output ONLY a Python list of coordinate tuples, like [(x1, y1), (x2, y2), ...]. Ensure adjacent waypoints do not exceed a maximum step distance of 50 meters.</t>
  </si>
  <si>
    <t>Act as a UAV path planning system. Generate a 2D waypoint path from Start (99, 99) to Goal (2, 3). Output ONLY a Python list of coordinate tuples, like [(x1, y1), (x2, y2), ...]. Ensure adjacent waypoints do not exceed a maximum step distance of 25 meters.</t>
  </si>
  <si>
    <t>Act as a UAV path planning system. Generate a 2D waypoint path from Start (01, 10) to Goal (50, 52). Output ONLY a Python list of coordinate tuples, like [(x1, y1), (x2, y2), ...]. Ensure adjacent waypoints do not exceed a maximum step distance of 15 meters.</t>
  </si>
  <si>
    <t>Response</t>
  </si>
  <si>
    <t>[(25, 18), (70, 26)]</t>
  </si>
  <si>
    <t>PASS</t>
  </si>
  <si>
    <t>-</t>
  </si>
  <si>
    <t>[(25, 18), (36, 20), (48, 22), (59, 24), (70, 26)]</t>
  </si>
  <si>
    <t>[(99, 99), (82.83, 83.0), (66.67, 67.0), (50.5, 51.0), (34.33, 35.0), (18.17, 19.0), (2, 3)]</t>
  </si>
  <si>
    <t>[(99, 99), (81, 81), (63, 63), (45, 45), (27, 27), (9, 9), (2, 3)]</t>
  </si>
  <si>
    <t>[(99, 99), (83, 83), (67, 67), (51, 51), (35, 35), (19, 19), (2, 3)]</t>
  </si>
  <si>
    <t>FAIL</t>
  </si>
  <si>
    <t>max step distance exceeded</t>
  </si>
  <si>
    <t>[(1, 10), (10.8, 18.4), (20.6, 26.8), (30.4, 35.2), (40.2, 43.6), (50, 52)]</t>
  </si>
  <si>
    <t>[(1.0, 10.0), (10.0, 17.7), (19.0, 25.4), (28.0, 33.1), (37.0, 40.8), (46.0, 48.5), (50.0, 52.0)]</t>
  </si>
  <si>
    <t>[(1, 10), (10, 18), (20, 27), (30, 35), (40, 44), (50, 52)]</t>
  </si>
  <si>
    <t>[(33, 99), (36, 78), (38, 70), (40, 65), (41, 55), (35, 49), (27, 46), (18, 42)]</t>
  </si>
  <si>
    <t>[(33.0, 99.0), (42.0, 75.0), (42.0, 55.0), (18.0, 42.0)]</t>
  </si>
  <si>
    <t>[(33, 99), (44, 75), (42, 50), (18, 42)]</t>
  </si>
  <si>
    <t>No collision</t>
  </si>
  <si>
    <t>[(100, 100), (85, 55), (70, 15), (35, 5), (2, 0)]</t>
  </si>
  <si>
    <t>[(100, 100), (70, 20), (2, 0)]</t>
  </si>
  <si>
    <t>[(100, 100), (2, 0)]</t>
  </si>
  <si>
    <t>[(13, 86), (9, 78), (25, 70), (45, 65), (65, 63), (80, 62), (93, 60), (92, 48)]</t>
  </si>
  <si>
    <t>[(13, 86), (22, 85), (77, 52), (92, 48)]</t>
  </si>
  <si>
    <t>[(13, 86), (6, 79), (20, 70), (45, 62), (65, 55), (85, 38), (95, 40), (92, 48)]</t>
  </si>
  <si>
    <t>2 collisions</t>
  </si>
  <si>
    <t>obstacle collision</t>
  </si>
  <si>
    <t>[(78, 349), (312, 120)]</t>
  </si>
  <si>
    <t>[(78, 349), (94, 339), (111, 328), (127, 317), (143, 307), (160, 296), (176, 286), (192, 275), (209, 264), (225, 254), (241, 243), (258, 232), (274, 222), (290, 211), (307, 200), (312, 120)]</t>
  </si>
  <si>
    <t>[(290, 240), (273, 224), (256, 209), (239, 193), (222, 178), (205, 162), (188, 147), (171, 131), (154, 116), (137, 101), (120, 85)]</t>
  </si>
  <si>
    <t>[(290, 240), (256, 209), (222, 178), (188, 147), (154, 116), (120, 85)]</t>
  </si>
  <si>
    <t>[(290, 240), (120, 85)]</t>
  </si>
  <si>
    <t>[(15, 230), (345.5, 483.75), (210, 320)]</t>
  </si>
  <si>
    <t>[(15, 230), (210, 320)]</t>
  </si>
  <si>
    <t>false diversion</t>
  </si>
  <si>
    <t>fasle diversion</t>
  </si>
  <si>
    <t>[(43, 117, 22), (73, 152, 26), (103, 187, 30), (133, 222, 35), (163, 257, 40), (193, 292, 48), (223, 327, 56), (253, 362, 64), (283, 397, 71), (314, 448, 79)]</t>
  </si>
  <si>
    <t>[(43, 117, 22), (100, 185, 35), (170, 250, 40), (240, 345, 40), (314, 448, 79)]</t>
  </si>
  <si>
    <t>[(43, 117, 22), (150, 260, 40), (314, 448, 79)]</t>
  </si>
  <si>
    <t>[(112, 83, 6), (143, 113, 22), (174, 143, 28), (205, 173, 32), (236, 204, 35), (267, 234, 38), (298, 264, 45), (329, 295, 65), (360, 325, 85), (391, 355, 100), (423, 387, 114)]</t>
  </si>
  <si>
    <t>[(112, 83, 6), (112, 83, 25), (150, 120, 30), (200, 170, 35), (250, 220, 35), (300, 270, 35), (350, 320, 40), (400, 365, 80), (423, 387, 114)]</t>
  </si>
  <si>
    <t>[(112, 83, 22), (200, 170, 30), (300, 270, 40), (380, 340, 80), (423, 387, 114)]</t>
  </si>
  <si>
    <t>altitude underflow</t>
  </si>
  <si>
    <t>[(81, 194, 37), (110, 205, 35), (140, 217, 33), (170, 229, 31), (200, 241, 28), (230, 252, 26), (260, 263, 24), (290, 271, 22), (320, 277, 20), (350, 280, 19), (376, 281, 19)]</t>
  </si>
  <si>
    <t>[(81, 194, 37), (140, 211, 38), (200, 228, 38), (260, 246, 38), (320, 263, 38), (376, 281, 19)]</t>
  </si>
  <si>
    <t>[(81, 194, 37), (140, 211, 33), (199, 229, 29), (258, 246, 26), (317, 264, 22), (376, 281, 19)]</t>
  </si>
  <si>
    <t>[(287, 362, 73), (267, 342, 68), (247, 322, 63), (227, 302, 58), (200, 305, 53), (175, 295, 48), (150, 275, 43), (130, 245, 38), (110, 215, 33), (100, 185, 30), (80, 160, 29), (61, 144, 29)]</t>
  </si>
  <si>
    <t>[(287, 362, 73), (263.5, 348.5, 69.25), (240.0, 335.0, 65.5), (216.5, 321.5, 61.75), (193.0, 308.0, 58.0), (174.4, 287.6, 54.4), (155.8, 267.2, 50.8), (137.2, 246.8, 47.2), (118.6, 226.4, 43.6), (100.0, 206.0, 40.0), (87.0, 185.33, 36.33), (74.0, 164.67, 32.67), (61.0, 144.0, 29.0)]</t>
  </si>
  <si>
    <t>[(287, 362, 73), (269.1, 342.8, 69), (255.0, 319.8, 66), (246.8, 290.6, 62), (235.3, 264.9, 58), (209.8, 253.6, 55), (179.5, 247.3, 51), (151.6, 238.6, 47), (120.0, 233.6, 44), (89.2, 227.9, 40), (74.2, 205.7, 36), (69.3, 173.1, 33), (61, 144, 29)]</t>
  </si>
  <si>
    <t>max step distance exceeded 6 times</t>
  </si>
  <si>
    <t>max step distance exceeded 5 times, obstacle collision 2 times</t>
  </si>
  <si>
    <t>[(112, 83, 14), (172.1, 95.2, 36.1), (232.2, 107.3, 47.3), (283.8, 136.5, 58.4), (329.8, 177.1, 69.5), (375.7, 217.7, 80.6), (407.8, 265.5, 91.8), (415.4, 326.4, 102.9), (423, 387, 114)]</t>
  </si>
  <si>
    <t>[(112.0, 83.0, 14.0), (130.0, 150.0, 30.0), (147.68, 220.71, 47.68), (150.0, 230.0, 50.0), (209.44, 272.46, 66.98), (220.0, 280.0, 70.0), (272.22, 332.22, 83.06), (300.0, 360.0, 90.0), (366.87, 391.21, 103.37), (375.0, 395.0, 105.0), (423.0, 387.0, 114.0)]</t>
  </si>
  <si>
    <t>[(112, 83, 14), (112, 83, 25), (167.5, 104.75, 35.0), (223.0, 126.5, 45.0), (237.9, 139.0, 48.0), (308.55, 201.14, 62.0), (379.21, 263.27, 76.0), (392.83, 279.5, 79.0), (400.07, 299.41, 83.0), (411.54, 343.2, 96.0), (423, 387, 114)]</t>
  </si>
  <si>
    <t>altitude underflow, max step distance exceeded</t>
  </si>
  <si>
    <t>FAILS</t>
  </si>
  <si>
    <t>PASSES</t>
  </si>
  <si>
    <t>FAILURE RATE</t>
  </si>
  <si>
    <t>[(14.0, 27.0, 8.0), (14.0, 27.0, 12.0), (35.0, 44.0, 13.0), (56.0, 61.0, 14.0), (77.0, 78.0, 15.0), (98.0, 95.0, 16.0), (119.0, 112.0, 17.0), (140.0, 129.0, 18.0), (161.0, 146.0, 19.0), (182.0, 163.0, 20.0), (203.0, 180.0, 21.0), (224.0, 197.0, 22.0), (245.0, 214.0, 23.0), (266.0, 231.0, 24.0), (287.0, 248.0, 25.0), (308.0, 265.0, 26.0), (329.0, 282.0, 27.0), (350.0, 299.0, 27.0), (375.0, 295.0, 27.0), (400.0, 300.0, 27.0), (415.0, 324.0, 27.0), (430.0, 348.0, 27.0), (445.0, 372.0, 27.0), (460.0, 396.0, 27.0), (474.5, 420.0, 27.0), (489.0, 444.0, 27.0), (503.5, 468.5, 27.0), (518.0, 493.0, 27.0)]</t>
  </si>
  <si>
    <t>[(14, 27, 8), (14, 27, 12), (40, 50, 12), (55, 65, 12), (70, 80, 12), (85, 95, 12), (100, 110, 12), (125, 135, 12), (155, 135, 12), (180, 160, 12), (205, 185, 12), (220, 200, 12), (235, 215, 12), (265, 240, 12), (295, 265, 12), (325, 285, 12), (350, 290, 12), (390, 290, 12), (410, 310, 12), (430, 335, 12), (450, 365, 12), (470, 395, 12), (485, 413, 12), (500, 447, 15), (518, 493, 27)]</t>
  </si>
  <si>
    <t>[(14, 27, 8), (40.5, 42.75, 12), (67, 58.5, 14), (93.5, 74.25, 16), (120, 90, 18), (146.67, 106.67, 18.67), (173.33, 123.33, 19.33), (200, 140, 20), (226.67, 156.67, 20), (253.33, 173.33, 20), (280, 190, 20), (310, 210, 20.5), (340, 230, 21), (370, 253.33, 21.33), (400, 276.67, 21.67), (430, 300, 22), (446.67, 326.67, 22.67), (463.33, 353.33, 23.33), (480, 380, 24), (492.5, 415, 25), (505, 450, 26), (511.5, 471.5, 26.5), (518, 493, 27)]</t>
  </si>
  <si>
    <t>total</t>
  </si>
  <si>
    <t>Act as a UAV path planning system. Plan a 3D path from Start (112, 83, 14) to Goal (423, 387, 114). You must maintain a minimum altitude of 25m throughout the flight. Assume a time step of Δt = 2 seconds and a max speed limit of 37.5m/s. You must avoid two cylindrical obstacles: Obstacle 1 centered at (195, 175) with a radius of 55m, and Obstacle 2 centered at (340, 310) with a radius of 60m. Initial battery is 100% with a burn rate of 0.8% per 10m; if the battery level falls below the 30% safety threshold, you MUST divert immediately to the Airbase at (280, 165, 22). Output ONLY a Python list of 3D tuples.</t>
  </si>
  <si>
    <t>Act as a UAV path planning system. Plan a 3D path from Start (287, 362, 73) to Goal (61, 144, 29). You must maintain a minimum altitude of 15m throughout the flight. Assume a time step of Δt = 2 seconds and a max speed limit of 15m/s. You must avoid two cylindrical obstacles: Obstacle 1 centered at (210, 290) with a radius of 18m, and Obstacle 2 centered at (120, 185) with a radius of 22m. Initial battery is 100% with a burn rate of 0.8% per 10m; if the battery level falls below the 10% safety threshold, you MUST divert immediately to the Airbase at (175, 215, 20). Output ONLY a Python list of 3D tuples.</t>
  </si>
  <si>
    <t>Act as a UAV path planning system. Plan a 3D path from Start (14, 27, 8) to Goal (518, 493, 27). You must maintain a minimum altitude of 12m throughout the flight. Assume a time step of Δt = 2 seconds and a max speed limit of 20m/s. You must avoid two cylindrical obstacles: Obstacle 1 centered at (142, 168) with a radius of 25m, and Obstacle 2 centered at (365, 342) with a radius of 35m. Initial battery is 100% with a burn rate of 0.8% per 10m; if the battery level falls below the 15% safety threshold, you MUST divert immediately to the Airbase at (245, 112, 18). Output ONLY a Python list of 3D tuples.</t>
  </si>
  <si>
    <t>failure rate</t>
  </si>
  <si>
    <t xml:space="preserve">scenario </t>
  </si>
  <si>
    <t>S1</t>
  </si>
  <si>
    <t>S2</t>
  </si>
  <si>
    <t>S3</t>
  </si>
  <si>
    <t>S4</t>
  </si>
  <si>
    <t>S5</t>
  </si>
  <si>
    <t>s1</t>
  </si>
  <si>
    <t>s2</t>
  </si>
  <si>
    <t>s3</t>
  </si>
  <si>
    <t>s4</t>
  </si>
  <si>
    <t>s5</t>
  </si>
  <si>
    <t xml:space="preserve">per senario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</si>
</sst>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rgb="FF1F1F1F"/>
      <name val="Arial"/>
      <family val="2"/>
    </font>
    <font>
      <sz val="11"/>
      <color theme="1"/>
      <name val="Arial"/>
      <family val="2"/>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10">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readingOrder="1"/>
    </xf>
    <xf numFmtId="9" fontId="0" fillId="0" borderId="0" xfId="0" applyNumberFormat="1"/>
    <xf numFmtId="0" fontId="3" fillId="0" borderId="0" xfId="0" applyFont="1" applyAlignment="1">
      <alignment horizontal="center" vertical="center" wrapText="1"/>
    </xf>
    <xf numFmtId="9" fontId="0" fillId="0" borderId="0" xfId="0" applyNumberFormat="1" applyAlignment="1">
      <alignment horizontal="center" vertical="center" wrapText="1"/>
    </xf>
    <xf numFmtId="9" fontId="0" fillId="0" borderId="0" xfId="0" applyNumberFormat="1" applyAlignment="1">
      <alignment vertical="center" wrapText="1"/>
    </xf>
    <xf numFmtId="9" fontId="0" fillId="0" borderId="0" xfId="1" applyFont="1" applyAlignment="1">
      <alignment horizontal="center" wrapText="1"/>
    </xf>
    <xf numFmtId="9" fontId="0" fillId="0" borderId="0" xfId="1" applyFont="1" applyAlignment="1">
      <alignment horizontal="center"/>
    </xf>
    <xf numFmtId="0" fontId="0" fillId="0" borderId="0" xfId="0"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85AF-F3D8-4655-B209-C3FA76F3D55B}">
  <dimension ref="A1:L66"/>
  <sheetViews>
    <sheetView tabSelected="1" zoomScale="63" zoomScaleNormal="89" workbookViewId="0">
      <pane ySplit="1" topLeftCell="A2" activePane="bottomLeft" state="frozen"/>
      <selection pane="bottomLeft" activeCell="M55" sqref="M55"/>
    </sheetView>
  </sheetViews>
  <sheetFormatPr defaultRowHeight="15" x14ac:dyDescent="0.25"/>
  <cols>
    <col min="1" max="1" width="11" style="1" bestFit="1" customWidth="1"/>
    <col min="2" max="2" width="15.42578125" style="1" bestFit="1" customWidth="1"/>
    <col min="3" max="3" width="77.5703125" style="1" customWidth="1"/>
    <col min="4" max="4" width="45.7109375" style="1" customWidth="1"/>
    <col min="5" max="5" width="22.28515625" style="1" bestFit="1" customWidth="1"/>
    <col min="6" max="6" width="14.7109375" style="1" bestFit="1" customWidth="1"/>
    <col min="7" max="7" width="14.140625" style="1" bestFit="1" customWidth="1"/>
    <col min="8" max="8" width="13.5703125" customWidth="1"/>
  </cols>
  <sheetData>
    <row r="1" spans="1:8" x14ac:dyDescent="0.25">
      <c r="A1" s="1" t="s">
        <v>0</v>
      </c>
      <c r="B1" s="1" t="s">
        <v>1</v>
      </c>
      <c r="C1" s="1" t="s">
        <v>2</v>
      </c>
      <c r="D1" s="1" t="s">
        <v>66</v>
      </c>
      <c r="E1" s="1" t="s">
        <v>3</v>
      </c>
      <c r="F1" s="1" t="s">
        <v>4</v>
      </c>
      <c r="G1" s="1" t="s">
        <v>5</v>
      </c>
      <c r="H1" s="1"/>
    </row>
    <row r="2" spans="1:8" ht="50.1" customHeight="1" x14ac:dyDescent="0.25">
      <c r="A2" s="1" t="s">
        <v>6</v>
      </c>
      <c r="B2" s="1" t="s">
        <v>46</v>
      </c>
      <c r="C2" s="9" t="s">
        <v>63</v>
      </c>
      <c r="D2" s="1" t="s">
        <v>70</v>
      </c>
      <c r="E2" s="1" t="s">
        <v>68</v>
      </c>
      <c r="F2" s="1" t="s">
        <v>69</v>
      </c>
      <c r="G2" s="1" t="s">
        <v>69</v>
      </c>
      <c r="H2" s="6"/>
    </row>
    <row r="3" spans="1:8" ht="50.1" customHeight="1" x14ac:dyDescent="0.25">
      <c r="A3" s="1" t="s">
        <v>7</v>
      </c>
      <c r="B3" s="1" t="s">
        <v>45</v>
      </c>
      <c r="C3" s="9"/>
      <c r="D3" s="1" t="s">
        <v>67</v>
      </c>
      <c r="E3" s="1" t="s">
        <v>68</v>
      </c>
      <c r="F3" s="1" t="s">
        <v>69</v>
      </c>
      <c r="G3" s="1" t="s">
        <v>69</v>
      </c>
      <c r="H3" s="6"/>
    </row>
    <row r="4" spans="1:8" ht="50.1" customHeight="1" x14ac:dyDescent="0.25">
      <c r="A4" s="1" t="s">
        <v>8</v>
      </c>
      <c r="B4" s="1" t="s">
        <v>47</v>
      </c>
      <c r="C4" s="9"/>
      <c r="D4" s="1" t="s">
        <v>67</v>
      </c>
      <c r="E4" s="1" t="s">
        <v>68</v>
      </c>
      <c r="F4" s="1" t="s">
        <v>69</v>
      </c>
      <c r="G4" s="1" t="s">
        <v>69</v>
      </c>
      <c r="H4" s="6"/>
    </row>
    <row r="5" spans="1:8" ht="50.1" customHeight="1" x14ac:dyDescent="0.25">
      <c r="A5" s="1" t="s">
        <v>9</v>
      </c>
      <c r="B5" s="1" t="s">
        <v>46</v>
      </c>
      <c r="C5" s="9" t="s">
        <v>64</v>
      </c>
      <c r="D5" s="1" t="s">
        <v>71</v>
      </c>
      <c r="E5" s="1" t="s">
        <v>68</v>
      </c>
      <c r="F5" s="1" t="s">
        <v>69</v>
      </c>
      <c r="G5" s="1" t="s">
        <v>69</v>
      </c>
      <c r="H5" s="6"/>
    </row>
    <row r="6" spans="1:8" ht="50.1" customHeight="1" x14ac:dyDescent="0.25">
      <c r="A6" s="1" t="s">
        <v>10</v>
      </c>
      <c r="B6" s="1" t="s">
        <v>45</v>
      </c>
      <c r="C6" s="9"/>
      <c r="D6" s="2" t="s">
        <v>72</v>
      </c>
      <c r="E6" s="1" t="s">
        <v>74</v>
      </c>
      <c r="F6" s="1" t="s">
        <v>69</v>
      </c>
      <c r="G6" s="1" t="s">
        <v>75</v>
      </c>
      <c r="H6" s="6"/>
    </row>
    <row r="7" spans="1:8" ht="50.1" customHeight="1" x14ac:dyDescent="0.25">
      <c r="A7" s="1" t="s">
        <v>11</v>
      </c>
      <c r="B7" s="1" t="s">
        <v>47</v>
      </c>
      <c r="C7" s="9"/>
      <c r="D7" s="1" t="s">
        <v>73</v>
      </c>
      <c r="E7" s="1" t="s">
        <v>68</v>
      </c>
      <c r="F7" s="1" t="s">
        <v>69</v>
      </c>
      <c r="G7" s="1" t="s">
        <v>69</v>
      </c>
      <c r="H7" s="6"/>
    </row>
    <row r="8" spans="1:8" ht="50.1" customHeight="1" x14ac:dyDescent="0.25">
      <c r="A8" s="1" t="s">
        <v>48</v>
      </c>
      <c r="B8" s="1" t="s">
        <v>46</v>
      </c>
      <c r="C8" s="9" t="s">
        <v>65</v>
      </c>
      <c r="D8" s="1" t="s">
        <v>76</v>
      </c>
      <c r="E8" s="1" t="s">
        <v>68</v>
      </c>
      <c r="F8" s="1" t="s">
        <v>69</v>
      </c>
      <c r="G8" s="1" t="s">
        <v>69</v>
      </c>
      <c r="H8" s="6"/>
    </row>
    <row r="9" spans="1:8" ht="50.1" customHeight="1" x14ac:dyDescent="0.25">
      <c r="A9" s="1" t="s">
        <v>49</v>
      </c>
      <c r="B9" s="1" t="s">
        <v>45</v>
      </c>
      <c r="C9" s="9"/>
      <c r="D9" s="2" t="s">
        <v>77</v>
      </c>
      <c r="E9" s="1" t="s">
        <v>68</v>
      </c>
      <c r="F9" s="1" t="s">
        <v>69</v>
      </c>
      <c r="G9" s="1" t="s">
        <v>69</v>
      </c>
      <c r="H9" s="6"/>
    </row>
    <row r="10" spans="1:8" ht="50.1" customHeight="1" x14ac:dyDescent="0.25">
      <c r="A10" s="1" t="s">
        <v>50</v>
      </c>
      <c r="B10" s="1" t="s">
        <v>47</v>
      </c>
      <c r="C10" s="9"/>
      <c r="D10" s="1" t="s">
        <v>78</v>
      </c>
      <c r="E10" s="1" t="s">
        <v>68</v>
      </c>
      <c r="F10" s="1" t="s">
        <v>69</v>
      </c>
      <c r="G10" s="1" t="s">
        <v>69</v>
      </c>
      <c r="H10" s="6"/>
    </row>
    <row r="11" spans="1:8" ht="50.1" customHeight="1" x14ac:dyDescent="0.25">
      <c r="A11" s="1" t="s">
        <v>12</v>
      </c>
      <c r="B11" s="1" t="s">
        <v>46</v>
      </c>
      <c r="C11" s="9" t="s">
        <v>36</v>
      </c>
      <c r="D11" s="1" t="s">
        <v>81</v>
      </c>
      <c r="E11" s="1" t="s">
        <v>68</v>
      </c>
      <c r="F11" s="1" t="s">
        <v>82</v>
      </c>
      <c r="G11" s="1" t="s">
        <v>69</v>
      </c>
      <c r="H11" s="6"/>
    </row>
    <row r="12" spans="1:8" ht="50.1" customHeight="1" x14ac:dyDescent="0.25">
      <c r="A12" s="1" t="s">
        <v>13</v>
      </c>
      <c r="B12" s="1" t="s">
        <v>45</v>
      </c>
      <c r="C12" s="9"/>
      <c r="D12" s="1" t="s">
        <v>80</v>
      </c>
      <c r="E12" s="1" t="s">
        <v>68</v>
      </c>
      <c r="F12" s="1" t="s">
        <v>82</v>
      </c>
      <c r="G12" s="1" t="s">
        <v>69</v>
      </c>
      <c r="H12" s="6"/>
    </row>
    <row r="13" spans="1:8" ht="50.1" customHeight="1" x14ac:dyDescent="0.25">
      <c r="A13" s="1" t="s">
        <v>14</v>
      </c>
      <c r="B13" s="1" t="s">
        <v>47</v>
      </c>
      <c r="C13" s="9"/>
      <c r="D13" s="1" t="s">
        <v>79</v>
      </c>
      <c r="E13" s="1" t="s">
        <v>68</v>
      </c>
      <c r="F13" s="1" t="s">
        <v>82</v>
      </c>
      <c r="G13" s="1" t="s">
        <v>69</v>
      </c>
      <c r="H13" s="6"/>
    </row>
    <row r="14" spans="1:8" ht="50.1" customHeight="1" x14ac:dyDescent="0.25">
      <c r="A14" s="1" t="s">
        <v>15</v>
      </c>
      <c r="B14" s="1" t="s">
        <v>46</v>
      </c>
      <c r="C14" s="9" t="s">
        <v>37</v>
      </c>
      <c r="D14" s="1" t="s">
        <v>83</v>
      </c>
      <c r="E14" s="1" t="s">
        <v>68</v>
      </c>
      <c r="F14" s="1" t="s">
        <v>82</v>
      </c>
      <c r="G14" s="1" t="s">
        <v>69</v>
      </c>
      <c r="H14" s="6"/>
    </row>
    <row r="15" spans="1:8" ht="50.1" customHeight="1" x14ac:dyDescent="0.25">
      <c r="A15" s="1" t="s">
        <v>16</v>
      </c>
      <c r="B15" s="1" t="s">
        <v>45</v>
      </c>
      <c r="C15" s="9"/>
      <c r="D15" s="1" t="s">
        <v>84</v>
      </c>
      <c r="E15" s="1" t="s">
        <v>68</v>
      </c>
      <c r="F15" s="1" t="s">
        <v>82</v>
      </c>
      <c r="G15" s="1" t="s">
        <v>69</v>
      </c>
      <c r="H15" s="6"/>
    </row>
    <row r="16" spans="1:8" ht="50.1" customHeight="1" x14ac:dyDescent="0.25">
      <c r="A16" s="1" t="s">
        <v>17</v>
      </c>
      <c r="B16" s="1" t="s">
        <v>47</v>
      </c>
      <c r="C16" s="9"/>
      <c r="D16" s="1" t="s">
        <v>85</v>
      </c>
      <c r="E16" s="1" t="s">
        <v>68</v>
      </c>
      <c r="F16" s="1" t="s">
        <v>82</v>
      </c>
      <c r="G16" s="1" t="s">
        <v>69</v>
      </c>
      <c r="H16" s="6"/>
    </row>
    <row r="17" spans="1:8" ht="50.1" customHeight="1" x14ac:dyDescent="0.25">
      <c r="A17" s="1" t="s">
        <v>51</v>
      </c>
      <c r="B17" s="1" t="s">
        <v>46</v>
      </c>
      <c r="C17" s="9" t="s">
        <v>38</v>
      </c>
      <c r="D17" s="1" t="s">
        <v>88</v>
      </c>
      <c r="E17" s="1" t="s">
        <v>68</v>
      </c>
      <c r="F17" s="1" t="s">
        <v>82</v>
      </c>
      <c r="G17" s="1" t="s">
        <v>69</v>
      </c>
      <c r="H17" s="6"/>
    </row>
    <row r="18" spans="1:8" ht="50.1" customHeight="1" x14ac:dyDescent="0.25">
      <c r="A18" s="1" t="s">
        <v>52</v>
      </c>
      <c r="B18" s="1" t="s">
        <v>45</v>
      </c>
      <c r="C18" s="9"/>
      <c r="D18" s="1" t="s">
        <v>87</v>
      </c>
      <c r="E18" s="1" t="s">
        <v>74</v>
      </c>
      <c r="F18" s="1" t="s">
        <v>89</v>
      </c>
      <c r="G18" s="1" t="s">
        <v>90</v>
      </c>
      <c r="H18" s="6"/>
    </row>
    <row r="19" spans="1:8" ht="50.1" customHeight="1" x14ac:dyDescent="0.25">
      <c r="A19" s="1" t="s">
        <v>53</v>
      </c>
      <c r="B19" s="1" t="s">
        <v>47</v>
      </c>
      <c r="C19" s="9"/>
      <c r="D19" s="1" t="s">
        <v>86</v>
      </c>
      <c r="E19" s="1" t="s">
        <v>68</v>
      </c>
      <c r="F19" s="1" t="s">
        <v>82</v>
      </c>
      <c r="G19" s="1" t="s">
        <v>69</v>
      </c>
      <c r="H19" s="6"/>
    </row>
    <row r="20" spans="1:8" ht="50.1" customHeight="1" x14ac:dyDescent="0.25">
      <c r="A20" s="1" t="s">
        <v>18</v>
      </c>
      <c r="B20" s="1" t="s">
        <v>46</v>
      </c>
      <c r="C20" s="9" t="s">
        <v>43</v>
      </c>
      <c r="D20" s="1" t="s">
        <v>100</v>
      </c>
      <c r="E20" s="1" t="s">
        <v>68</v>
      </c>
      <c r="F20" s="1" t="s">
        <v>69</v>
      </c>
      <c r="G20" s="1" t="s">
        <v>69</v>
      </c>
      <c r="H20" s="6"/>
    </row>
    <row r="21" spans="1:8" ht="50.1" customHeight="1" x14ac:dyDescent="0.25">
      <c r="A21" s="1" t="s">
        <v>19</v>
      </c>
      <c r="B21" s="1" t="s">
        <v>45</v>
      </c>
      <c r="C21" s="9"/>
      <c r="D21" s="1" t="s">
        <v>101</v>
      </c>
      <c r="E21" s="1" t="s">
        <v>68</v>
      </c>
      <c r="F21" s="1" t="s">
        <v>69</v>
      </c>
      <c r="G21" s="1" t="s">
        <v>69</v>
      </c>
      <c r="H21" s="6"/>
    </row>
    <row r="22" spans="1:8" ht="50.1" customHeight="1" x14ac:dyDescent="0.25">
      <c r="A22" s="1" t="s">
        <v>20</v>
      </c>
      <c r="B22" s="1" t="s">
        <v>47</v>
      </c>
      <c r="C22" s="9"/>
      <c r="D22" s="1" t="s">
        <v>102</v>
      </c>
      <c r="E22" s="1" t="s">
        <v>68</v>
      </c>
      <c r="F22" s="1" t="s">
        <v>69</v>
      </c>
      <c r="G22" s="1" t="s">
        <v>69</v>
      </c>
      <c r="H22" s="6"/>
    </row>
    <row r="23" spans="1:8" ht="50.1" customHeight="1" x14ac:dyDescent="0.25">
      <c r="A23" s="1" t="s">
        <v>21</v>
      </c>
      <c r="B23" s="1" t="s">
        <v>46</v>
      </c>
      <c r="C23" s="9" t="s">
        <v>42</v>
      </c>
      <c r="D23" s="1" t="s">
        <v>103</v>
      </c>
      <c r="E23" s="1" t="s">
        <v>74</v>
      </c>
      <c r="F23" s="1" t="s">
        <v>69</v>
      </c>
      <c r="G23" s="1" t="s">
        <v>106</v>
      </c>
      <c r="H23" s="6"/>
    </row>
    <row r="24" spans="1:8" ht="50.1" customHeight="1" x14ac:dyDescent="0.25">
      <c r="A24" s="1" t="s">
        <v>22</v>
      </c>
      <c r="B24" s="1" t="s">
        <v>45</v>
      </c>
      <c r="C24" s="9"/>
      <c r="D24" s="1" t="s">
        <v>104</v>
      </c>
      <c r="E24" s="1" t="s">
        <v>68</v>
      </c>
      <c r="F24" s="1" t="s">
        <v>69</v>
      </c>
      <c r="G24" s="1" t="s">
        <v>69</v>
      </c>
      <c r="H24" s="6"/>
    </row>
    <row r="25" spans="1:8" ht="50.1" customHeight="1" x14ac:dyDescent="0.25">
      <c r="A25" s="1" t="s">
        <v>23</v>
      </c>
      <c r="B25" s="1" t="s">
        <v>47</v>
      </c>
      <c r="C25" s="9"/>
      <c r="D25" s="1" t="s">
        <v>105</v>
      </c>
      <c r="E25" s="1" t="s">
        <v>68</v>
      </c>
      <c r="F25" s="1" t="s">
        <v>69</v>
      </c>
      <c r="G25" s="1" t="s">
        <v>69</v>
      </c>
      <c r="H25" s="6"/>
    </row>
    <row r="26" spans="1:8" ht="50.1" customHeight="1" x14ac:dyDescent="0.25">
      <c r="A26" s="1" t="s">
        <v>54</v>
      </c>
      <c r="B26" s="1" t="s">
        <v>46</v>
      </c>
      <c r="C26" s="9" t="s">
        <v>44</v>
      </c>
      <c r="D26" s="1" t="s">
        <v>107</v>
      </c>
      <c r="E26" s="1" t="s">
        <v>68</v>
      </c>
      <c r="F26" s="1" t="s">
        <v>69</v>
      </c>
      <c r="G26" s="1" t="s">
        <v>69</v>
      </c>
      <c r="H26" s="6"/>
    </row>
    <row r="27" spans="1:8" ht="50.1" customHeight="1" x14ac:dyDescent="0.25">
      <c r="A27" s="1" t="s">
        <v>55</v>
      </c>
      <c r="B27" s="1" t="s">
        <v>45</v>
      </c>
      <c r="C27" s="9"/>
      <c r="D27" s="1" t="s">
        <v>108</v>
      </c>
      <c r="E27" s="1" t="s">
        <v>68</v>
      </c>
      <c r="F27" s="1" t="s">
        <v>69</v>
      </c>
      <c r="G27" s="1" t="s">
        <v>69</v>
      </c>
      <c r="H27" s="6"/>
    </row>
    <row r="28" spans="1:8" ht="50.1" customHeight="1" x14ac:dyDescent="0.25">
      <c r="A28" s="1" t="s">
        <v>56</v>
      </c>
      <c r="B28" s="1" t="s">
        <v>47</v>
      </c>
      <c r="C28" s="9"/>
      <c r="D28" s="1" t="s">
        <v>109</v>
      </c>
      <c r="E28" s="1" t="s">
        <v>68</v>
      </c>
      <c r="F28" s="1" t="s">
        <v>69</v>
      </c>
      <c r="G28" s="1" t="s">
        <v>69</v>
      </c>
      <c r="H28" s="6"/>
    </row>
    <row r="29" spans="1:8" ht="66" customHeight="1" x14ac:dyDescent="0.25">
      <c r="A29" s="1" t="s">
        <v>24</v>
      </c>
      <c r="B29" s="1" t="s">
        <v>46</v>
      </c>
      <c r="C29" s="9" t="s">
        <v>39</v>
      </c>
      <c r="D29" s="1" t="s">
        <v>91</v>
      </c>
      <c r="E29" s="1" t="s">
        <v>68</v>
      </c>
      <c r="F29" s="1" t="s">
        <v>69</v>
      </c>
      <c r="G29" s="1" t="s">
        <v>69</v>
      </c>
      <c r="H29" s="6"/>
    </row>
    <row r="30" spans="1:8" ht="50.1" customHeight="1" x14ac:dyDescent="0.25">
      <c r="A30" s="1" t="s">
        <v>25</v>
      </c>
      <c r="B30" s="1" t="s">
        <v>45</v>
      </c>
      <c r="C30" s="9"/>
      <c r="D30" s="1" t="s">
        <v>91</v>
      </c>
      <c r="E30" s="1" t="s">
        <v>68</v>
      </c>
      <c r="F30" s="1" t="s">
        <v>69</v>
      </c>
      <c r="G30" s="1" t="s">
        <v>69</v>
      </c>
      <c r="H30" s="6"/>
    </row>
    <row r="31" spans="1:8" ht="67.5" customHeight="1" x14ac:dyDescent="0.25">
      <c r="A31" s="1" t="s">
        <v>26</v>
      </c>
      <c r="B31" s="1" t="s">
        <v>47</v>
      </c>
      <c r="C31" s="9"/>
      <c r="D31" s="1" t="s">
        <v>92</v>
      </c>
      <c r="E31" s="1" t="s">
        <v>68</v>
      </c>
      <c r="F31" s="1" t="s">
        <v>69</v>
      </c>
      <c r="G31" s="1" t="s">
        <v>69</v>
      </c>
      <c r="H31" s="6"/>
    </row>
    <row r="32" spans="1:8" ht="45" customHeight="1" x14ac:dyDescent="0.25">
      <c r="A32" s="1" t="s">
        <v>27</v>
      </c>
      <c r="B32" s="1" t="s">
        <v>46</v>
      </c>
      <c r="C32" s="9" t="s">
        <v>40</v>
      </c>
      <c r="D32" s="1" t="s">
        <v>94</v>
      </c>
      <c r="E32" s="1" t="s">
        <v>68</v>
      </c>
      <c r="F32" s="1" t="s">
        <v>69</v>
      </c>
      <c r="G32" s="1" t="s">
        <v>69</v>
      </c>
      <c r="H32" s="6"/>
    </row>
    <row r="33" spans="1:9" ht="50.1" customHeight="1" x14ac:dyDescent="0.25">
      <c r="A33" s="1" t="s">
        <v>28</v>
      </c>
      <c r="B33" s="1" t="s">
        <v>45</v>
      </c>
      <c r="C33" s="9"/>
      <c r="D33" s="1" t="s">
        <v>95</v>
      </c>
      <c r="E33" s="1" t="s">
        <v>68</v>
      </c>
      <c r="F33" s="1" t="s">
        <v>69</v>
      </c>
      <c r="G33" s="1" t="s">
        <v>69</v>
      </c>
      <c r="H33" s="6"/>
    </row>
    <row r="34" spans="1:9" ht="50.1" customHeight="1" x14ac:dyDescent="0.25">
      <c r="A34" s="1" t="s">
        <v>29</v>
      </c>
      <c r="B34" s="1" t="s">
        <v>47</v>
      </c>
      <c r="C34" s="9"/>
      <c r="D34" s="1" t="s">
        <v>93</v>
      </c>
      <c r="E34" s="1" t="s">
        <v>68</v>
      </c>
      <c r="F34" s="1" t="s">
        <v>69</v>
      </c>
      <c r="G34" s="1" t="s">
        <v>69</v>
      </c>
      <c r="H34" s="6"/>
    </row>
    <row r="35" spans="1:9" ht="30" customHeight="1" x14ac:dyDescent="0.25">
      <c r="A35" s="1" t="s">
        <v>57</v>
      </c>
      <c r="B35" s="1" t="s">
        <v>46</v>
      </c>
      <c r="C35" s="9" t="s">
        <v>41</v>
      </c>
      <c r="D35" s="1" t="s">
        <v>96</v>
      </c>
      <c r="E35" s="1" t="s">
        <v>68</v>
      </c>
      <c r="F35" s="1" t="s">
        <v>69</v>
      </c>
      <c r="G35" s="1" t="s">
        <v>69</v>
      </c>
      <c r="H35" s="6"/>
    </row>
    <row r="36" spans="1:9" ht="50.1" customHeight="1" x14ac:dyDescent="0.25">
      <c r="A36" s="1" t="s">
        <v>58</v>
      </c>
      <c r="B36" s="1" t="s">
        <v>45</v>
      </c>
      <c r="C36" s="9"/>
      <c r="D36" s="1" t="s">
        <v>97</v>
      </c>
      <c r="E36" s="1" t="s">
        <v>74</v>
      </c>
      <c r="F36" s="1" t="s">
        <v>69</v>
      </c>
      <c r="G36" s="1" t="s">
        <v>98</v>
      </c>
      <c r="H36" s="6"/>
    </row>
    <row r="37" spans="1:9" ht="50.1" customHeight="1" x14ac:dyDescent="0.25">
      <c r="A37" s="1" t="s">
        <v>59</v>
      </c>
      <c r="B37" s="1" t="s">
        <v>47</v>
      </c>
      <c r="C37" s="9"/>
      <c r="D37" s="1" t="s">
        <v>97</v>
      </c>
      <c r="E37" s="1" t="s">
        <v>74</v>
      </c>
      <c r="F37" s="1" t="s">
        <v>69</v>
      </c>
      <c r="G37" s="1" t="s">
        <v>99</v>
      </c>
      <c r="H37" s="6"/>
    </row>
    <row r="38" spans="1:9" ht="167.25" customHeight="1" x14ac:dyDescent="0.25">
      <c r="A38" s="1" t="s">
        <v>30</v>
      </c>
      <c r="B38" s="1" t="s">
        <v>46</v>
      </c>
      <c r="C38" s="9" t="s">
        <v>128</v>
      </c>
      <c r="D38" s="1" t="s">
        <v>124</v>
      </c>
      <c r="E38" s="1" t="s">
        <v>74</v>
      </c>
      <c r="F38" s="1" t="s">
        <v>82</v>
      </c>
      <c r="G38" s="1" t="s">
        <v>106</v>
      </c>
      <c r="H38" s="6"/>
    </row>
    <row r="39" spans="1:9" ht="222" customHeight="1" x14ac:dyDescent="0.25">
      <c r="A39" s="1" t="s">
        <v>31</v>
      </c>
      <c r="B39" s="1" t="s">
        <v>45</v>
      </c>
      <c r="C39" s="9"/>
      <c r="D39" s="1" t="s">
        <v>122</v>
      </c>
      <c r="E39" s="1" t="s">
        <v>68</v>
      </c>
      <c r="F39" s="1" t="s">
        <v>69</v>
      </c>
      <c r="G39" s="1" t="s">
        <v>69</v>
      </c>
      <c r="H39" s="6"/>
    </row>
    <row r="40" spans="1:9" ht="120" x14ac:dyDescent="0.25">
      <c r="A40" s="1" t="s">
        <v>32</v>
      </c>
      <c r="B40" s="1" t="s">
        <v>47</v>
      </c>
      <c r="C40" s="9"/>
      <c r="D40" s="1" t="s">
        <v>123</v>
      </c>
      <c r="E40" s="1" t="s">
        <v>74</v>
      </c>
      <c r="F40" s="1" t="s">
        <v>82</v>
      </c>
      <c r="G40" s="1" t="s">
        <v>75</v>
      </c>
      <c r="H40" s="6"/>
    </row>
    <row r="41" spans="1:9" ht="99.95" customHeight="1" x14ac:dyDescent="0.25">
      <c r="A41" s="1" t="s">
        <v>33</v>
      </c>
      <c r="B41" s="1" t="s">
        <v>46</v>
      </c>
      <c r="C41" s="9" t="s">
        <v>127</v>
      </c>
      <c r="D41" s="1" t="s">
        <v>112</v>
      </c>
      <c r="E41" s="1" t="s">
        <v>74</v>
      </c>
      <c r="F41" s="1" t="s">
        <v>82</v>
      </c>
      <c r="G41" s="1" t="s">
        <v>113</v>
      </c>
      <c r="H41" s="6"/>
    </row>
    <row r="42" spans="1:9" ht="99.95" customHeight="1" x14ac:dyDescent="0.25">
      <c r="A42" s="1" t="s">
        <v>34</v>
      </c>
      <c r="B42" s="1" t="s">
        <v>45</v>
      </c>
      <c r="C42" s="9"/>
      <c r="D42" s="1" t="s">
        <v>110</v>
      </c>
      <c r="E42" s="1" t="s">
        <v>74</v>
      </c>
      <c r="F42" s="1" t="s">
        <v>89</v>
      </c>
      <c r="G42" s="1" t="s">
        <v>114</v>
      </c>
      <c r="H42" s="6"/>
    </row>
    <row r="43" spans="1:9" ht="110.25" customHeight="1" x14ac:dyDescent="0.25">
      <c r="A43" s="1" t="s">
        <v>35</v>
      </c>
      <c r="B43" s="1" t="s">
        <v>47</v>
      </c>
      <c r="C43" s="9"/>
      <c r="D43" s="1" t="s">
        <v>111</v>
      </c>
      <c r="E43" s="1" t="s">
        <v>68</v>
      </c>
      <c r="F43" s="1" t="s">
        <v>82</v>
      </c>
      <c r="G43" s="1" t="s">
        <v>69</v>
      </c>
      <c r="H43" s="6"/>
    </row>
    <row r="44" spans="1:9" ht="99.75" customHeight="1" x14ac:dyDescent="0.25">
      <c r="A44" s="1" t="s">
        <v>60</v>
      </c>
      <c r="B44" s="1" t="s">
        <v>46</v>
      </c>
      <c r="C44" s="9" t="s">
        <v>126</v>
      </c>
      <c r="D44" s="1" t="s">
        <v>115</v>
      </c>
      <c r="E44" s="1" t="s">
        <v>74</v>
      </c>
      <c r="F44" s="1" t="s">
        <v>82</v>
      </c>
      <c r="G44" s="1" t="s">
        <v>106</v>
      </c>
      <c r="H44" s="6"/>
    </row>
    <row r="45" spans="1:9" ht="99.75" customHeight="1" x14ac:dyDescent="0.25">
      <c r="A45" s="1" t="s">
        <v>61</v>
      </c>
      <c r="B45" s="1" t="s">
        <v>45</v>
      </c>
      <c r="C45" s="9"/>
      <c r="D45" s="1" t="s">
        <v>116</v>
      </c>
      <c r="E45" s="1" t="s">
        <v>74</v>
      </c>
      <c r="F45" s="1" t="s">
        <v>82</v>
      </c>
      <c r="G45" s="1" t="s">
        <v>118</v>
      </c>
      <c r="H45" s="6"/>
    </row>
    <row r="46" spans="1:9" ht="99.75" customHeight="1" x14ac:dyDescent="0.25">
      <c r="A46" s="1" t="s">
        <v>62</v>
      </c>
      <c r="B46" s="1" t="s">
        <v>47</v>
      </c>
      <c r="C46" s="9"/>
      <c r="D46" s="1" t="s">
        <v>117</v>
      </c>
      <c r="E46" s="1" t="s">
        <v>74</v>
      </c>
      <c r="F46" s="1" t="s">
        <v>82</v>
      </c>
      <c r="G46" s="1" t="s">
        <v>75</v>
      </c>
      <c r="H46" s="6"/>
    </row>
    <row r="48" spans="1:9" x14ac:dyDescent="0.25">
      <c r="C48" s="4"/>
      <c r="H48" t="s">
        <v>119</v>
      </c>
      <c r="I48" cm="1">
        <f t="array" ref="I48">COUNTIF(E:E,{"FAIL"})</f>
        <v>12</v>
      </c>
    </row>
    <row r="49" spans="8:12" x14ac:dyDescent="0.25">
      <c r="H49" t="s">
        <v>120</v>
      </c>
      <c r="I49" cm="1">
        <f t="array" ref="I49">COUNTIF(E:E,{"PASS"})</f>
        <v>33</v>
      </c>
    </row>
    <row r="50" spans="8:12" x14ac:dyDescent="0.25">
      <c r="H50" t="s">
        <v>125</v>
      </c>
      <c r="I50">
        <f>I48+I49</f>
        <v>45</v>
      </c>
    </row>
    <row r="51" spans="8:12" x14ac:dyDescent="0.25">
      <c r="H51" t="s">
        <v>121</v>
      </c>
      <c r="I51" s="3">
        <f>I48/I50</f>
        <v>0.26666666666666666</v>
      </c>
    </row>
    <row r="54" spans="8:12" ht="30" x14ac:dyDescent="0.25">
      <c r="H54" s="1" t="s">
        <v>130</v>
      </c>
      <c r="I54" s="1" t="s">
        <v>129</v>
      </c>
    </row>
    <row r="55" spans="8:12" x14ac:dyDescent="0.25">
      <c r="H55" s="1" t="s">
        <v>131</v>
      </c>
      <c r="I55" s="5">
        <v>0.11</v>
      </c>
    </row>
    <row r="56" spans="8:12" x14ac:dyDescent="0.25">
      <c r="H56" s="1" t="s">
        <v>132</v>
      </c>
      <c r="I56" s="5">
        <v>0.11</v>
      </c>
    </row>
    <row r="57" spans="8:12" x14ac:dyDescent="0.25">
      <c r="H57" s="1" t="s">
        <v>133</v>
      </c>
      <c r="I57" s="5">
        <v>0.11</v>
      </c>
    </row>
    <row r="58" spans="8:12" x14ac:dyDescent="0.25">
      <c r="H58" s="1" t="s">
        <v>134</v>
      </c>
      <c r="I58" s="5">
        <v>0.22</v>
      </c>
    </row>
    <row r="59" spans="8:12" x14ac:dyDescent="0.25">
      <c r="H59" s="1" t="s">
        <v>135</v>
      </c>
      <c r="I59" s="5">
        <v>0.78</v>
      </c>
    </row>
    <row r="61" spans="8:12" ht="30" x14ac:dyDescent="0.25">
      <c r="H61" s="1" t="s">
        <v>141</v>
      </c>
      <c r="I61" s="1" t="s">
        <v>45</v>
      </c>
      <c r="J61" s="1" t="s">
        <v>46</v>
      </c>
      <c r="K61" s="1" t="s">
        <v>47</v>
      </c>
    </row>
    <row r="62" spans="8:12" x14ac:dyDescent="0.25">
      <c r="H62" s="1" t="s">
        <v>136</v>
      </c>
      <c r="I62" s="7">
        <v>0.33300000000000002</v>
      </c>
      <c r="J62" s="8">
        <v>0</v>
      </c>
      <c r="K62" s="7">
        <v>0</v>
      </c>
      <c r="L62" s="3">
        <f>AVERAGE(I62,J62,K62)</f>
        <v>0.111</v>
      </c>
    </row>
    <row r="63" spans="8:12" x14ac:dyDescent="0.25">
      <c r="H63" s="1" t="s">
        <v>137</v>
      </c>
      <c r="I63" s="7">
        <v>0.33300000000000002</v>
      </c>
      <c r="J63" s="8">
        <v>0</v>
      </c>
      <c r="K63" s="7">
        <v>0</v>
      </c>
      <c r="L63" s="3">
        <f t="shared" ref="L63:L65" si="0">AVERAGE(I63,J63,K63)</f>
        <v>0.111</v>
      </c>
    </row>
    <row r="64" spans="8:12" x14ac:dyDescent="0.25">
      <c r="H64" s="1" t="s">
        <v>138</v>
      </c>
      <c r="I64" s="7">
        <v>0</v>
      </c>
      <c r="J64" s="7">
        <v>0.33300000000000002</v>
      </c>
      <c r="K64" s="7">
        <v>0</v>
      </c>
      <c r="L64" s="3">
        <f t="shared" si="0"/>
        <v>0.111</v>
      </c>
    </row>
    <row r="65" spans="8:12" x14ac:dyDescent="0.25">
      <c r="H65" s="1" t="s">
        <v>139</v>
      </c>
      <c r="I65" s="7">
        <v>0.33300000000000002</v>
      </c>
      <c r="J65" s="7">
        <v>0</v>
      </c>
      <c r="K65" s="7">
        <v>0.33300000000000002</v>
      </c>
      <c r="L65" s="3">
        <f t="shared" si="0"/>
        <v>0.222</v>
      </c>
    </row>
    <row r="66" spans="8:12" x14ac:dyDescent="0.25">
      <c r="H66" s="1" t="s">
        <v>140</v>
      </c>
      <c r="I66" s="7">
        <v>0.66700000000000004</v>
      </c>
      <c r="J66" s="7">
        <v>0.1</v>
      </c>
      <c r="K66" s="7">
        <v>0.66700000000000004</v>
      </c>
      <c r="L66" s="3">
        <f>AVERAGE(I66,J66,K66)</f>
        <v>0.47800000000000004</v>
      </c>
    </row>
  </sheetData>
  <mergeCells count="15">
    <mergeCell ref="C38:C40"/>
    <mergeCell ref="C41:C43"/>
    <mergeCell ref="C44:C46"/>
    <mergeCell ref="C17:C19"/>
    <mergeCell ref="C14:C16"/>
    <mergeCell ref="C11:C13"/>
    <mergeCell ref="C8:C10"/>
    <mergeCell ref="C5:C7"/>
    <mergeCell ref="C2:C4"/>
    <mergeCell ref="C35:C37"/>
    <mergeCell ref="C32:C34"/>
    <mergeCell ref="C29:C31"/>
    <mergeCell ref="C26:C28"/>
    <mergeCell ref="C23:C25"/>
    <mergeCell ref="C20:C2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D8EE2-4470-470F-B0C3-EE6FD8D2B38E}">
  <dimension ref="A1:G9"/>
  <sheetViews>
    <sheetView topLeftCell="A4" workbookViewId="0">
      <selection sqref="A1:G9"/>
    </sheetView>
  </sheetViews>
  <sheetFormatPr defaultRowHeight="15" x14ac:dyDescent="0.25"/>
  <cols>
    <col min="3" max="3" width="38.140625" customWidth="1"/>
    <col min="4" max="4" width="37.5703125" customWidth="1"/>
  </cols>
  <sheetData>
    <row r="1" spans="1:7" ht="30" x14ac:dyDescent="0.25">
      <c r="A1" s="1" t="s">
        <v>18</v>
      </c>
      <c r="B1" s="1" t="s">
        <v>46</v>
      </c>
      <c r="C1" s="9" t="s">
        <v>39</v>
      </c>
      <c r="D1" s="1" t="s">
        <v>91</v>
      </c>
      <c r="E1" s="1" t="s">
        <v>68</v>
      </c>
      <c r="F1" s="1" t="s">
        <v>69</v>
      </c>
      <c r="G1" s="1" t="s">
        <v>69</v>
      </c>
    </row>
    <row r="2" spans="1:7" ht="30" x14ac:dyDescent="0.25">
      <c r="A2" s="1" t="s">
        <v>19</v>
      </c>
      <c r="B2" s="1" t="s">
        <v>45</v>
      </c>
      <c r="C2" s="9"/>
      <c r="D2" s="1" t="s">
        <v>91</v>
      </c>
      <c r="E2" s="1" t="s">
        <v>68</v>
      </c>
      <c r="F2" s="1" t="s">
        <v>69</v>
      </c>
      <c r="G2" s="1" t="s">
        <v>69</v>
      </c>
    </row>
    <row r="3" spans="1:7" ht="75" x14ac:dyDescent="0.25">
      <c r="A3" s="1" t="s">
        <v>20</v>
      </c>
      <c r="B3" s="1" t="s">
        <v>47</v>
      </c>
      <c r="C3" s="9"/>
      <c r="D3" s="1" t="s">
        <v>92</v>
      </c>
      <c r="E3" s="1" t="s">
        <v>68</v>
      </c>
      <c r="F3" s="1" t="s">
        <v>69</v>
      </c>
      <c r="G3" s="1" t="s">
        <v>69</v>
      </c>
    </row>
    <row r="4" spans="1:7" ht="30" x14ac:dyDescent="0.25">
      <c r="A4" s="1" t="s">
        <v>21</v>
      </c>
      <c r="B4" s="1" t="s">
        <v>46</v>
      </c>
      <c r="C4" s="9" t="s">
        <v>40</v>
      </c>
      <c r="D4" s="1" t="s">
        <v>94</v>
      </c>
      <c r="E4" s="1" t="s">
        <v>68</v>
      </c>
      <c r="F4" s="1" t="s">
        <v>69</v>
      </c>
      <c r="G4" s="1" t="s">
        <v>69</v>
      </c>
    </row>
    <row r="5" spans="1:7" ht="30" x14ac:dyDescent="0.25">
      <c r="A5" s="1" t="s">
        <v>22</v>
      </c>
      <c r="B5" s="1" t="s">
        <v>45</v>
      </c>
      <c r="C5" s="9"/>
      <c r="D5" s="1" t="s">
        <v>95</v>
      </c>
      <c r="E5" s="1" t="s">
        <v>68</v>
      </c>
      <c r="F5" s="1" t="s">
        <v>69</v>
      </c>
      <c r="G5" s="1" t="s">
        <v>69</v>
      </c>
    </row>
    <row r="6" spans="1:7" ht="60" x14ac:dyDescent="0.25">
      <c r="A6" s="1" t="s">
        <v>23</v>
      </c>
      <c r="B6" s="1" t="s">
        <v>47</v>
      </c>
      <c r="C6" s="9"/>
      <c r="D6" s="1" t="s">
        <v>93</v>
      </c>
      <c r="E6" s="1" t="s">
        <v>68</v>
      </c>
      <c r="F6" s="1" t="s">
        <v>69</v>
      </c>
      <c r="G6" s="1" t="s">
        <v>69</v>
      </c>
    </row>
    <row r="7" spans="1:7" ht="30" x14ac:dyDescent="0.25">
      <c r="A7" s="1" t="s">
        <v>54</v>
      </c>
      <c r="B7" s="1" t="s">
        <v>46</v>
      </c>
      <c r="C7" s="9" t="s">
        <v>41</v>
      </c>
      <c r="D7" s="1" t="s">
        <v>96</v>
      </c>
      <c r="E7" s="1" t="s">
        <v>68</v>
      </c>
      <c r="F7" s="1" t="s">
        <v>69</v>
      </c>
      <c r="G7" s="1" t="s">
        <v>69</v>
      </c>
    </row>
    <row r="8" spans="1:7" ht="30" x14ac:dyDescent="0.25">
      <c r="A8" s="1" t="s">
        <v>55</v>
      </c>
      <c r="B8" s="1" t="s">
        <v>45</v>
      </c>
      <c r="C8" s="9"/>
      <c r="D8" s="1" t="s">
        <v>97</v>
      </c>
      <c r="E8" s="1" t="s">
        <v>74</v>
      </c>
      <c r="F8" s="1" t="s">
        <v>69</v>
      </c>
      <c r="G8" s="1" t="s">
        <v>98</v>
      </c>
    </row>
    <row r="9" spans="1:7" ht="30" x14ac:dyDescent="0.25">
      <c r="A9" s="1" t="s">
        <v>56</v>
      </c>
      <c r="B9" s="1" t="s">
        <v>47</v>
      </c>
      <c r="C9" s="9"/>
      <c r="D9" s="1" t="s">
        <v>97</v>
      </c>
      <c r="E9" s="1" t="s">
        <v>74</v>
      </c>
      <c r="F9" s="1" t="s">
        <v>69</v>
      </c>
      <c r="G9" s="1" t="s">
        <v>99</v>
      </c>
    </row>
  </sheetData>
  <mergeCells count="3">
    <mergeCell ref="C1:C3"/>
    <mergeCell ref="C4:C6"/>
    <mergeCell ref="C7: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Nirav Nirmal</dc:creator>
  <cp:lastModifiedBy>Nirav Nirmal</cp:lastModifiedBy>
  <dcterms:created xsi:type="dcterms:W3CDTF">2026-08-15T10:14:46Z</dcterms:created>
  <dcterms:modified xsi:type="dcterms:W3CDTF">2026-10-04T07:16:13Z</dcterms:modified>
</cp:coreProperties>
</file>